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state_ad_spend_profit" sheetId="2" r:id="rId6"/>
    <sheet state="visible" name="product_profit" sheetId="3" r:id="rId7"/>
    <sheet state="visible" name="total_rto" sheetId="4" r:id="rId8"/>
    <sheet state="visible" name="customer_spend" sheetId="5" r:id="rId9"/>
    <sheet state="visible" name="CUSTOMERS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<sst xmlns="http://schemas.openxmlformats.org/spreadsheetml/2006/main" count="74" uniqueCount="37">
  <si>
    <t>Order_ID</t>
  </si>
  <si>
    <t>Date</t>
  </si>
  <si>
    <t>Customer_ID</t>
  </si>
  <si>
    <t>Product</t>
  </si>
  <si>
    <t>Qty</t>
  </si>
  <si>
    <t>Price</t>
  </si>
  <si>
    <t>Cost</t>
  </si>
  <si>
    <t>State</t>
  </si>
  <si>
    <t>Ad_Spend</t>
  </si>
  <si>
    <t>Status</t>
  </si>
  <si>
    <t>Profit</t>
  </si>
  <si>
    <t>rto_flag</t>
  </si>
  <si>
    <t>customer_spend</t>
  </si>
  <si>
    <t>C1</t>
  </si>
  <si>
    <t>Watch</t>
  </si>
  <si>
    <t>Mumbai</t>
  </si>
  <si>
    <t>Delivered</t>
  </si>
  <si>
    <t>C2</t>
  </si>
  <si>
    <t>Shoes</t>
  </si>
  <si>
    <t>Delhi</t>
  </si>
  <si>
    <t>RTO</t>
  </si>
  <si>
    <t>C3</t>
  </si>
  <si>
    <t>Bag</t>
  </si>
  <si>
    <t>Pune</t>
  </si>
  <si>
    <t>C4</t>
  </si>
  <si>
    <t>SUM of Profit</t>
  </si>
  <si>
    <t>SUM of Ad_Spend</t>
  </si>
  <si>
    <t>Grand Total</t>
  </si>
  <si>
    <t>COUNT of Order_ID</t>
  </si>
  <si>
    <t>SUM of rto_flag</t>
  </si>
  <si>
    <t>SUM of customer_spend</t>
  </si>
  <si>
    <t>Name</t>
  </si>
  <si>
    <t>City</t>
  </si>
  <si>
    <t>Adil</t>
  </si>
  <si>
    <t>Rahul</t>
  </si>
  <si>
    <t>Ayaan</t>
  </si>
  <si>
    <t>Sameer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</si>
</sst>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7" sheet="ORDERS"/>
  </cacheSource>
  <cacheFields>
    <cacheField name="Order_ID" numFmtId="0">
      <sharedItems containsSemiMixedTypes="0" containsString="0" containsNumber="1" containsInteger="1">
        <n v="101.0"/>
        <n v="102.0"/>
        <n v="103.0"/>
        <n v="104.0"/>
        <n v="105.0"/>
        <n v="106.0"/>
      </sharedItems>
    </cacheField>
    <cacheField name="Date" numFmtId="164">
      <sharedItems containsSemiMixedTypes="0" containsDate="1" containsString="0">
        <d v="2026-01-01T00:00:00Z"/>
        <d v="2026-01-02T00:00:00Z"/>
        <d v="2026-01-03T00:00:00Z"/>
        <d v="2026-01-04T00:00:00Z"/>
        <d v="2026-01-05T00:00:00Z"/>
        <d v="2026-01-06T00:00:00Z"/>
      </sharedItems>
    </cacheField>
    <cacheField name="Customer_ID" numFmtId="0">
      <sharedItems>
        <s v="C1"/>
        <s v="C2"/>
        <s v="C3"/>
        <s v="C4"/>
      </sharedItems>
    </cacheField>
    <cacheField name="Product" numFmtId="0">
      <sharedItems>
        <s v="Watch"/>
        <s v="Shoes"/>
        <s v="Bag"/>
      </sharedItems>
    </cacheField>
    <cacheField name="Qty" numFmtId="0">
      <sharedItems containsSemiMixedTypes="0" containsString="0" containsNumber="1" containsInteger="1">
        <n v="1.0"/>
        <n v="2.0"/>
      </sharedItems>
    </cacheField>
    <cacheField name="Price" numFmtId="0">
      <sharedItems containsSemiMixedTypes="0" containsString="0" containsNumber="1" containsInteger="1">
        <n v="1200.0"/>
        <n v="2000.0"/>
        <n v="1500.0"/>
      </sharedItems>
    </cacheField>
    <cacheField name="Cost" numFmtId="0">
      <sharedItems containsSemiMixedTypes="0" containsString="0" containsNumber="1" containsInteger="1">
        <n v="700.0"/>
        <n v="1200.0"/>
        <n v="900.0"/>
      </sharedItems>
    </cacheField>
    <cacheField name="State" numFmtId="0">
      <sharedItems>
        <s v="Mumbai"/>
        <s v="Delhi"/>
        <s v="Pune"/>
      </sharedItems>
    </cacheField>
    <cacheField name="Ad_Spend" numFmtId="0">
      <sharedItems containsSemiMixedTypes="0" containsString="0" containsNumber="1" containsInteger="1">
        <n v="200.0"/>
        <n v="300.0"/>
        <n v="250.0"/>
      </sharedItems>
    </cacheField>
    <cacheField name="Status" numFmtId="0">
      <sharedItems>
        <s v="Delivered"/>
        <s v="RTO"/>
      </sharedItems>
    </cacheField>
    <cacheField name="Profit" numFmtId="0">
      <sharedItems containsSemiMixedTypes="0" containsString="0" containsNumber="1" containsInteger="1">
        <n v="300.0"/>
        <n v="-50.0"/>
        <n v="800.0"/>
        <n v="350.0"/>
        <n v="1350.0"/>
      </sharedItems>
    </cacheField>
    <cacheField name="rto_flag" numFmtId="0">
      <sharedItems containsSemiMixedTypes="0" containsString="0" containsNumber="1" containsInteger="1">
        <n v="0.0"/>
        <n v="1.0"/>
      </sharedItems>
    </cacheField>
    <cacheField name="customer_spend" numFmtId="0">
      <sharedItems containsSemiMixedTypes="0" containsString="0" containsNumber="1" containsInteger="1">
        <n v="1200.0"/>
        <n v="2000.0"/>
        <n v="2400.0"/>
        <n v="1500.0"/>
        <n v="400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tate_ad_spend_profit" cacheId="0" dataCaption="" compact="0" compactData="0">
  <location ref="A1:C5" firstHeaderRow="0" firstDataRow="2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t="default"/>
      </items>
    </pivotField>
    <pivotField name="Qty" compact="0" outline="0" multipleItemSelectionAllowed="1" showAll="0">
      <items>
        <item x="0"/>
        <item x="1"/>
        <item t="default"/>
      </items>
    </pivotField>
    <pivotField name="Price" compact="0" outline="0" multipleItemSelectionAllowed="1" showAll="0">
      <items>
        <item x="0"/>
        <item x="1"/>
        <item x="2"/>
        <item t="default"/>
      </items>
    </pivotField>
    <pivotField name="Cost" compact="0" outline="0" multipleItemSelectionAllowed="1" showAll="0">
      <items>
        <item x="0"/>
        <item x="1"/>
        <item x="2"/>
        <item t="default"/>
      </items>
    </pivotField>
    <pivotField name="State" axis="axisRow" compact="0" outline="0" multipleItemSelectionAllowed="1" showAll="0" sortType="ascending">
      <items>
        <item x="1"/>
        <item x="0"/>
        <item x="2"/>
        <item t="default"/>
      </items>
    </pivotField>
    <pivotField name="Ad_Spend" dataField="1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to_flag" compact="0" outline="0" multipleItemSelectionAllowed="1" showAll="0">
      <items>
        <item x="0"/>
        <item x="1"/>
        <item t="default"/>
      </items>
    </pivotField>
    <pivotField name="customer_spend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7"/>
  </rowFields>
  <colFields>
    <field x="-2"/>
  </colFields>
  <dataFields>
    <dataField name="SUM of Profit" fld="10" baseField="0"/>
    <dataField name="SUM of Ad_Spend" fld="8" baseField="0"/>
  </dataFields>
</pivotTableDefinition>
</file>

<file path=xl/pivotTables/pivotTable2.xml><?xml version="1.0" encoding="utf-8"?>
<pivotTableDefinition xmlns="http://schemas.openxmlformats.org/spreadsheetml/2006/main" name="product_profit" cacheId="0" dataCaption="" compact="0" compactData="0">
  <location ref="A1:B5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ascending">
      <items>
        <item x="2"/>
        <item x="1"/>
        <item x="0"/>
        <item t="default"/>
      </items>
    </pivotField>
    <pivotField name="Qty" compact="0" outline="0" multipleItemSelectionAllowed="1" showAll="0">
      <items>
        <item x="0"/>
        <item x="1"/>
        <item t="default"/>
      </items>
    </pivotField>
    <pivotField name="Price" compact="0" outline="0" multipleItemSelectionAllowed="1" showAll="0">
      <items>
        <item x="0"/>
        <item x="1"/>
        <item x="2"/>
        <item t="default"/>
      </items>
    </pivotField>
    <pivotField name="Cost" compact="0" outline="0" multipleItemSelectionAllowed="1" showAll="0">
      <items>
        <item x="0"/>
        <item x="1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t="default"/>
      </items>
    </pivotField>
    <pivotField name="Ad_Spend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to_flag" compact="0" outline="0" multipleItemSelectionAllowed="1" showAll="0">
      <items>
        <item x="0"/>
        <item x="1"/>
        <item t="default"/>
      </items>
    </pivotField>
    <pivotField name="customer_spend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3"/>
  </rowFields>
  <dataFields>
    <dataField name="SUM of Profit" fld="10" baseField="0"/>
  </dataFields>
</pivotTableDefinition>
</file>

<file path=xl/pivotTables/pivotTable3.xml><?xml version="1.0" encoding="utf-8"?>
<pivotTableDefinition xmlns="http://schemas.openxmlformats.org/spreadsheetml/2006/main" name="total_rto" cacheId="0" dataCaption="" compact="0" compactData="0">
  <location ref="A1:B2" firstHeaderRow="0" firstDataRow="1" firstDataCol="0"/>
  <pivotFields>
    <pivotField name="Order_ID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t="default"/>
      </items>
    </pivotField>
    <pivotField name="Qty" compact="0" outline="0" multipleItemSelectionAllowed="1" showAll="0">
      <items>
        <item x="0"/>
        <item x="1"/>
        <item t="default"/>
      </items>
    </pivotField>
    <pivotField name="Price" compact="0" outline="0" multipleItemSelectionAllowed="1" showAll="0">
      <items>
        <item x="0"/>
        <item x="1"/>
        <item x="2"/>
        <item t="default"/>
      </items>
    </pivotField>
    <pivotField name="Cost" compact="0" outline="0" multipleItemSelectionAllowed="1" showAll="0">
      <items>
        <item x="0"/>
        <item x="1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t="default"/>
      </items>
    </pivotField>
    <pivotField name="Ad_Spend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to_flag" dataField="1" compact="0" outline="0" multipleItemSelectionAllowed="1" showAll="0">
      <items>
        <item x="0"/>
        <item x="1"/>
        <item t="default"/>
      </items>
    </pivotField>
    <pivotField name="customer_spend" compact="0" outline="0" multipleItemSelectionAllowed="1" showAll="0">
      <items>
        <item x="0"/>
        <item x="1"/>
        <item x="2"/>
        <item x="3"/>
        <item x="4"/>
        <item t="default"/>
      </items>
    </pivotField>
  </pivotFields>
  <colFields>
    <field x="-2"/>
  </colFields>
  <dataFields>
    <dataField name="COUNT of Order_ID" fld="0" subtotal="countNums" baseField="0"/>
    <dataField name="SUM of rto_flag" fld="11" baseField="0"/>
  </dataFields>
</pivotTableDefinition>
</file>

<file path=xl/pivotTables/pivotTable4.xml><?xml version="1.0" encoding="utf-8"?>
<pivotTableDefinition xmlns="http://schemas.openxmlformats.org/spreadsheetml/2006/main" name="customer_spend" cacheId="0" dataCaption="" compact="0" compactData="0">
  <location ref="A1:B6" firstHeaderRow="0" firstDataRow="1" firstDataCol="0"/>
  <pivotFields>
    <pivotField name="Order_ID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ustomer_ID" axis="axisRow" compact="0" outline="0" multipleItemSelectionAllowed="1" showAll="0" sortType="ascending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t="default"/>
      </items>
    </pivotField>
    <pivotField name="Qty" compact="0" outline="0" multipleItemSelectionAllowed="1" showAll="0">
      <items>
        <item x="0"/>
        <item x="1"/>
        <item t="default"/>
      </items>
    </pivotField>
    <pivotField name="Price" compact="0" outline="0" multipleItemSelectionAllowed="1" showAll="0">
      <items>
        <item x="0"/>
        <item x="1"/>
        <item x="2"/>
        <item t="default"/>
      </items>
    </pivotField>
    <pivotField name="Cost" compact="0" outline="0" multipleItemSelectionAllowed="1" showAll="0">
      <items>
        <item x="0"/>
        <item x="1"/>
        <item x="2"/>
        <item t="default"/>
      </items>
    </pivotField>
    <pivotField name="State" compact="0" outline="0" multipleItemSelectionAllowed="1" showAll="0">
      <items>
        <item x="0"/>
        <item x="1"/>
        <item x="2"/>
        <item t="default"/>
      </items>
    </pivotField>
    <pivotField name="Ad_Spend" compact="0" outline="0" multipleItemSelectionAllowed="1" showAll="0">
      <items>
        <item x="0"/>
        <item x="1"/>
        <item x="2"/>
        <item t="default"/>
      </items>
    </pivotField>
    <pivotField name="Status" compact="0" outline="0" multipleItemSelectionAllowed="1" showAll="0">
      <items>
        <item x="0"/>
        <item x="1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t="default"/>
      </items>
    </pivotField>
    <pivotField name="rto_flag" compact="0" outline="0" multipleItemSelectionAllowed="1" showAll="0">
      <items>
        <item x="0"/>
        <item x="1"/>
        <item t="default"/>
      </items>
    </pivotField>
    <pivotField name="customer_spend" dataField="1" compact="0" outline="0" multipleItemSelectionAllowed="1" showAll="0">
      <items>
        <item x="0"/>
        <item x="1"/>
        <item x="2"/>
        <item x="3"/>
        <item x="4"/>
        <item t="default"/>
      </items>
    </pivotField>
  </pivotFields>
  <rowFields>
    <field x="2"/>
  </rowFields>
  <dataFields>
    <dataField name="SUM of customer_spend" fld="1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>
      <c r="A2" s="2">
        <v>101.0</v>
      </c>
      <c r="B2" s="3">
        <v>46023.0</v>
      </c>
      <c r="C2" s="2" t="s">
        <v>13</v>
      </c>
      <c r="D2" s="2" t="s">
        <v>14</v>
      </c>
      <c r="E2" s="2">
        <v>1.0</v>
      </c>
      <c r="F2" s="2">
        <v>1200.0</v>
      </c>
      <c r="G2" s="2">
        <v>700.0</v>
      </c>
      <c r="H2" s="2" t="s">
        <v>15</v>
      </c>
      <c r="I2" s="2">
        <v>200.0</v>
      </c>
      <c r="J2" s="2" t="s">
        <v>16</v>
      </c>
      <c r="K2" s="4">
        <f t="shared" ref="K2:K7" si="1">if(J2="RTO",-50,(F2 - G2) * E2 - I2)</f>
        <v>300</v>
      </c>
      <c r="L2" s="2">
        <f t="shared" ref="L2:L7" si="2">if(J2="RTO",1,0)</f>
        <v>0</v>
      </c>
      <c r="M2" s="4">
        <f t="shared" ref="M2:M7" si="3">F2 * E2</f>
        <v>1200</v>
      </c>
    </row>
    <row r="3">
      <c r="A3" s="2">
        <v>102.0</v>
      </c>
      <c r="B3" s="3">
        <v>46024.0</v>
      </c>
      <c r="C3" s="2" t="s">
        <v>17</v>
      </c>
      <c r="D3" s="2" t="s">
        <v>18</v>
      </c>
      <c r="E3" s="2">
        <v>1.0</v>
      </c>
      <c r="F3" s="2">
        <v>2000.0</v>
      </c>
      <c r="G3" s="2">
        <v>1200.0</v>
      </c>
      <c r="H3" s="2" t="s">
        <v>19</v>
      </c>
      <c r="I3" s="2">
        <v>300.0</v>
      </c>
      <c r="J3" s="2" t="s">
        <v>20</v>
      </c>
      <c r="K3" s="4">
        <f t="shared" si="1"/>
        <v>-50</v>
      </c>
      <c r="L3" s="2">
        <f t="shared" si="2"/>
        <v>1</v>
      </c>
      <c r="M3" s="4">
        <f t="shared" si="3"/>
        <v>2000</v>
      </c>
    </row>
    <row r="4">
      <c r="A4" s="2">
        <v>103.0</v>
      </c>
      <c r="B4" s="3">
        <v>46025.0</v>
      </c>
      <c r="C4" s="2" t="s">
        <v>13</v>
      </c>
      <c r="D4" s="2" t="s">
        <v>14</v>
      </c>
      <c r="E4" s="2">
        <v>2.0</v>
      </c>
      <c r="F4" s="2">
        <v>1200.0</v>
      </c>
      <c r="G4" s="2">
        <v>700.0</v>
      </c>
      <c r="H4" s="2" t="s">
        <v>15</v>
      </c>
      <c r="I4" s="2">
        <v>200.0</v>
      </c>
      <c r="J4" s="2" t="s">
        <v>16</v>
      </c>
      <c r="K4" s="4">
        <f t="shared" si="1"/>
        <v>800</v>
      </c>
      <c r="L4" s="2">
        <f t="shared" si="2"/>
        <v>0</v>
      </c>
      <c r="M4" s="4">
        <f t="shared" si="3"/>
        <v>2400</v>
      </c>
    </row>
    <row r="5">
      <c r="A5" s="2">
        <v>104.0</v>
      </c>
      <c r="B5" s="3">
        <v>46026.0</v>
      </c>
      <c r="C5" s="2" t="s">
        <v>21</v>
      </c>
      <c r="D5" s="2" t="s">
        <v>22</v>
      </c>
      <c r="E5" s="2">
        <v>1.0</v>
      </c>
      <c r="F5" s="2">
        <v>1500.0</v>
      </c>
      <c r="G5" s="2">
        <v>900.0</v>
      </c>
      <c r="H5" s="2" t="s">
        <v>23</v>
      </c>
      <c r="I5" s="2">
        <v>250.0</v>
      </c>
      <c r="J5" s="2" t="s">
        <v>16</v>
      </c>
      <c r="K5" s="4">
        <f t="shared" si="1"/>
        <v>350</v>
      </c>
      <c r="L5" s="2">
        <f t="shared" si="2"/>
        <v>0</v>
      </c>
      <c r="M5" s="4">
        <f t="shared" si="3"/>
        <v>1500</v>
      </c>
    </row>
    <row r="6">
      <c r="A6" s="2">
        <v>105.0</v>
      </c>
      <c r="B6" s="3">
        <v>46027.0</v>
      </c>
      <c r="C6" s="2" t="s">
        <v>24</v>
      </c>
      <c r="D6" s="2" t="s">
        <v>14</v>
      </c>
      <c r="E6" s="2">
        <v>1.0</v>
      </c>
      <c r="F6" s="2">
        <v>1200.0</v>
      </c>
      <c r="G6" s="2">
        <v>700.0</v>
      </c>
      <c r="H6" s="2" t="s">
        <v>23</v>
      </c>
      <c r="I6" s="2">
        <v>200.0</v>
      </c>
      <c r="J6" s="2" t="s">
        <v>20</v>
      </c>
      <c r="K6" s="4">
        <f t="shared" si="1"/>
        <v>-50</v>
      </c>
      <c r="L6" s="2">
        <f t="shared" si="2"/>
        <v>1</v>
      </c>
      <c r="M6" s="4">
        <f t="shared" si="3"/>
        <v>1200</v>
      </c>
    </row>
    <row r="7">
      <c r="A7" s="2">
        <v>106.0</v>
      </c>
      <c r="B7" s="3">
        <v>46028.0</v>
      </c>
      <c r="C7" s="2" t="s">
        <v>17</v>
      </c>
      <c r="D7" s="2" t="s">
        <v>18</v>
      </c>
      <c r="E7" s="2">
        <v>2.0</v>
      </c>
      <c r="F7" s="2">
        <v>2000.0</v>
      </c>
      <c r="G7" s="2">
        <v>1200.0</v>
      </c>
      <c r="H7" s="2" t="s">
        <v>19</v>
      </c>
      <c r="I7" s="2">
        <v>250.0</v>
      </c>
      <c r="J7" s="2" t="s">
        <v>16</v>
      </c>
      <c r="K7" s="4">
        <f t="shared" si="1"/>
        <v>1350</v>
      </c>
      <c r="L7" s="2">
        <f t="shared" si="2"/>
        <v>0</v>
      </c>
      <c r="M7" s="4">
        <f t="shared" si="3"/>
        <v>4000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6.0"/>
    <col customWidth="1" min="2" max="2" width="20.5"/>
    <col customWidth="1" min="3" max="3" width="17.5"/>
  </cols>
  <sheetData>
    <row r="1"/>
    <row r="2"/>
    <row r="3"/>
    <row r="4"/>
    <row r="5"/>
    <row r="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31</v>
      </c>
      <c r="C1" s="1" t="s">
        <v>32</v>
      </c>
    </row>
    <row r="2">
      <c r="A2" s="2" t="s">
        <v>13</v>
      </c>
      <c r="B2" s="2" t="s">
        <v>33</v>
      </c>
      <c r="C2" s="2" t="s">
        <v>15</v>
      </c>
    </row>
    <row r="3">
      <c r="A3" s="2" t="s">
        <v>17</v>
      </c>
      <c r="B3" s="2" t="s">
        <v>34</v>
      </c>
      <c r="C3" s="2" t="s">
        <v>19</v>
      </c>
    </row>
    <row r="4">
      <c r="A4" s="2" t="s">
        <v>21</v>
      </c>
      <c r="B4" s="2" t="s">
        <v>35</v>
      </c>
      <c r="C4" s="2" t="s">
        <v>23</v>
      </c>
    </row>
    <row r="5">
      <c r="A5" s="2" t="s">
        <v>24</v>
      </c>
      <c r="B5" s="2" t="s">
        <v>36</v>
      </c>
      <c r="C5" s="2" t="s">
        <v>19</v>
      </c>
    </row>
  </sheetData>
  <drawing r:id="rId1"/>
</worksheet>
</file>